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13_ncr:1_{D068D6FD-4471-444F-B37A-97DA7C7775C6}" xr6:coauthVersionLast="47" xr6:coauthVersionMax="47" xr10:uidLastSave="{00000000-0000-0000-0000-000000000000}"/>
  <bookViews>
    <workbookView xWindow="-120" yWindow="-120" windowWidth="29040" windowHeight="15720" xr2:uid="{95127950-0B79-4202-8ACC-7285C9577C1E}"/>
  </bookViews>
  <sheets>
    <sheet name="Tabelas" sheetId="1" r:id="rId1"/>
    <sheet name="Aluno" sheetId="2" r:id="rId2"/>
    <sheet name="Endereço" sheetId="3" r:id="rId3"/>
    <sheet name="Telefone" sheetId="4" r:id="rId4"/>
    <sheet name="Aluno_curso" sheetId="5" r:id="rId5"/>
    <sheet name="Curso" sheetId="6" r:id="rId6"/>
    <sheet name="Disciplina" sheetId="7" r:id="rId7"/>
    <sheet name="Professor" sheetId="8" r:id="rId8"/>
    <sheet name="Funcionario" sheetId="9" r:id="rId9"/>
    <sheet name="Projeto_Funcionario" sheetId="10" r:id="rId10"/>
    <sheet name="Projeto" sheetId="11" r:id="rId11"/>
    <sheet name="Gastos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</calcChain>
</file>

<file path=xl/sharedStrings.xml><?xml version="1.0" encoding="utf-8"?>
<sst xmlns="http://schemas.openxmlformats.org/spreadsheetml/2006/main" count="354" uniqueCount="162">
  <si>
    <t>Tabela</t>
  </si>
  <si>
    <t>Relacionamento</t>
  </si>
  <si>
    <t>Nome do Relacionamento</t>
  </si>
  <si>
    <t>Descrição</t>
  </si>
  <si>
    <t>Aluno</t>
  </si>
  <si>
    <t>Endereço</t>
  </si>
  <si>
    <t>Telefone</t>
  </si>
  <si>
    <t>Possui</t>
  </si>
  <si>
    <t>Armazenar dados dos Alunos</t>
  </si>
  <si>
    <t>Armazenar dados de telefone dos alunos</t>
  </si>
  <si>
    <t>Aluno_Curso</t>
  </si>
  <si>
    <t>Curso</t>
  </si>
  <si>
    <t>Armazenar relacionamento de Aluno e Curso</t>
  </si>
  <si>
    <t>Aluno_curso</t>
  </si>
  <si>
    <t>Armazenar dados de cursos</t>
  </si>
  <si>
    <t>Disciplina</t>
  </si>
  <si>
    <t>Professor</t>
  </si>
  <si>
    <t>Armazenar dados de Disciplinas</t>
  </si>
  <si>
    <t>Armazenar dados de Professores</t>
  </si>
  <si>
    <t>Funcionario</t>
  </si>
  <si>
    <t>Projeto_Funcionario</t>
  </si>
  <si>
    <t>Armazenar dados de Funcionários</t>
  </si>
  <si>
    <t xml:space="preserve">Projeto </t>
  </si>
  <si>
    <t>Armazenar relacionamento de Funcionários e Projetos</t>
  </si>
  <si>
    <t>Projeto</t>
  </si>
  <si>
    <t>Armazena dados de Projetos</t>
  </si>
  <si>
    <t>Gasto</t>
  </si>
  <si>
    <t>Armazena dados de Gastos</t>
  </si>
  <si>
    <t>Coluna</t>
  </si>
  <si>
    <t>Tipo de dado</t>
  </si>
  <si>
    <t>Comprimento (Bytes)</t>
  </si>
  <si>
    <t>Restrição</t>
  </si>
  <si>
    <t>Valor Padrão</t>
  </si>
  <si>
    <t>Extra</t>
  </si>
  <si>
    <t>idAlunoPK</t>
  </si>
  <si>
    <t>Inteiro</t>
  </si>
  <si>
    <t>PK</t>
  </si>
  <si>
    <t>auto_increment</t>
  </si>
  <si>
    <t>Identificador do registro do aluno gerado de modo automático</t>
  </si>
  <si>
    <t>Nome</t>
  </si>
  <si>
    <t>CPF</t>
  </si>
  <si>
    <t>Sexo</t>
  </si>
  <si>
    <t>AtivoSN</t>
  </si>
  <si>
    <t>Email</t>
  </si>
  <si>
    <t>DataNascimento</t>
  </si>
  <si>
    <t>Caracter</t>
  </si>
  <si>
    <t>Data</t>
  </si>
  <si>
    <t>UNIQUE</t>
  </si>
  <si>
    <t>NOT NULL</t>
  </si>
  <si>
    <t>Nome do Aluno</t>
  </si>
  <si>
    <t>CPF do Aluno podendo ou não ser cadastrado com uma máscara</t>
  </si>
  <si>
    <t>M' para Masculino ou 'F' para Feminino</t>
  </si>
  <si>
    <t>1 Indica que o registro está ativo; o valor 0 indica que o registro está inativo</t>
  </si>
  <si>
    <t>E-mail do aluno</t>
  </si>
  <si>
    <t>Data de Nascimento do aluno</t>
  </si>
  <si>
    <t>Total de Bytes de cada registro</t>
  </si>
  <si>
    <t>Armazenar dados de endereço dos alunos</t>
  </si>
  <si>
    <t>idEndereçoPK</t>
  </si>
  <si>
    <t>TipoLogradouro</t>
  </si>
  <si>
    <t>Logradouro</t>
  </si>
  <si>
    <t>Numero</t>
  </si>
  <si>
    <t>Complemento</t>
  </si>
  <si>
    <t>Bairro</t>
  </si>
  <si>
    <t>Cidade</t>
  </si>
  <si>
    <t>Estado</t>
  </si>
  <si>
    <t>idAlunoFK</t>
  </si>
  <si>
    <t>FK</t>
  </si>
  <si>
    <t>FK, UNIQUE</t>
  </si>
  <si>
    <t>Identificador do registro do endereço gerado de modo automático</t>
  </si>
  <si>
    <t>Tipo de Logradouro</t>
  </si>
  <si>
    <t>Nome do Logradouro</t>
  </si>
  <si>
    <t>Número do endereço</t>
  </si>
  <si>
    <t>Complemento do Endereço, podendo ou não ser preenchido</t>
  </si>
  <si>
    <t>Nome do Bairro</t>
  </si>
  <si>
    <t>Nome da Cidade</t>
  </si>
  <si>
    <t>Nome do estado, apenas a sigla</t>
  </si>
  <si>
    <t>Identificador do registro do aluno modador do endereço, deve ser único</t>
  </si>
  <si>
    <t>idTelefonePK</t>
  </si>
  <si>
    <t>Tipo</t>
  </si>
  <si>
    <t>Enum</t>
  </si>
  <si>
    <t>'res' para residencial, 'com' para comercial e 'cel' para celular</t>
  </si>
  <si>
    <t>Numero do Telefone com DDD</t>
  </si>
  <si>
    <t>Identificador do aluno</t>
  </si>
  <si>
    <t>Identificador do registro de telefone gerado de modo automático</t>
  </si>
  <si>
    <t>Null</t>
  </si>
  <si>
    <t>idCursoFK</t>
  </si>
  <si>
    <t>ValorPagoCurso</t>
  </si>
  <si>
    <t>DataInscricaoCurso</t>
  </si>
  <si>
    <t>Float</t>
  </si>
  <si>
    <t>PK, FK</t>
  </si>
  <si>
    <t>PK, FK, NOT NULL</t>
  </si>
  <si>
    <t>PK, NOT NULL</t>
  </si>
  <si>
    <t>Current_TimeStamp</t>
  </si>
  <si>
    <t>Identificador do curso do aluno</t>
  </si>
  <si>
    <t>Valor pago pelo curso</t>
  </si>
  <si>
    <t>Data da Inscrição no curso, caso não informada, retorna a data atual</t>
  </si>
  <si>
    <t>idCursoPK</t>
  </si>
  <si>
    <t>Identificador do registro do curso gerado de modo automático</t>
  </si>
  <si>
    <t>Nome do curso</t>
  </si>
  <si>
    <t>idDisciplinaPK</t>
  </si>
  <si>
    <t>idProfessorFK</t>
  </si>
  <si>
    <t>CargaHoraria</t>
  </si>
  <si>
    <t>Auto_Increment</t>
  </si>
  <si>
    <t>Identificador do registro da Disciplina gerado de modo automático</t>
  </si>
  <si>
    <t>Identificador do curso da Disciplina</t>
  </si>
  <si>
    <t>Identificador do professor da disciplina</t>
  </si>
  <si>
    <t>Nome da Disciplina</t>
  </si>
  <si>
    <t>Carga horária da disciplina</t>
  </si>
  <si>
    <t>idProfessorPK</t>
  </si>
  <si>
    <t>Identificador do registro do professor gerado de modo automático</t>
  </si>
  <si>
    <t>Nome do Professor</t>
  </si>
  <si>
    <t>E-mail do professor</t>
  </si>
  <si>
    <t>idFuncionarioPK</t>
  </si>
  <si>
    <t>Funcao</t>
  </si>
  <si>
    <t>Identificador do registro do funcionario gerado de modo automático</t>
  </si>
  <si>
    <t>Nome do Funcionario</t>
  </si>
  <si>
    <t>Função do Funcionário</t>
  </si>
  <si>
    <t>Telefone do Funcionário</t>
  </si>
  <si>
    <t>idFuncionarioFK</t>
  </si>
  <si>
    <t>idProjetoFK</t>
  </si>
  <si>
    <t>HorasEstimadas</t>
  </si>
  <si>
    <t>HorasRealizadas</t>
  </si>
  <si>
    <t>Identificador do Funcionário participando do projeto</t>
  </si>
  <si>
    <t>Identificador do Projeto</t>
  </si>
  <si>
    <t>Horas Estimadas para o fim do projeto</t>
  </si>
  <si>
    <t>Horas realizadas até o fim do projeto</t>
  </si>
  <si>
    <t>idProjetoPK</t>
  </si>
  <si>
    <t>DataCriacao</t>
  </si>
  <si>
    <t>Current_Timestamp</t>
  </si>
  <si>
    <t>Identificador do registro do projeto gerado de modo automático</t>
  </si>
  <si>
    <t>Data de Criação do projeto, se não informado retorna a data atual</t>
  </si>
  <si>
    <t>Nome do Projeto</t>
  </si>
  <si>
    <t>idGastoPK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</si>
  <si>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</si>
  <si>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</si>
  <si>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</si>
  <si>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</si>
  <si>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</si>
  <si>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</si>
  <si>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</si>
  <si>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</si>
  <si>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</si>
  <si>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</si>
  <si>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</si>
  <si>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</si>
  <si>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</si>
  <si>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Auto_increment</t>
  </si>
  <si>
    <t>Identificador do registro dos gastos gerado de modo automático</t>
  </si>
  <si>
    <t>'previsto' para Gasto Previsto e 'realizado' para Gasto realizado</t>
  </si>
  <si>
    <t>Ano do Gasto</t>
  </si>
  <si>
    <t>Gasto em Janeiro</t>
  </si>
  <si>
    <t>Gasto em Fevereiro</t>
  </si>
  <si>
    <t>Gasto em Março</t>
  </si>
  <si>
    <t>Gasto em Abril</t>
  </si>
  <si>
    <t>Gasto em Maio</t>
  </si>
  <si>
    <t>Gasto em Junho</t>
  </si>
  <si>
    <t>Gasto em Julho</t>
  </si>
  <si>
    <t>Gasto em Agosto</t>
  </si>
  <si>
    <t>Gasto em Setembro</t>
  </si>
  <si>
    <t>Gasto em Outubro</t>
  </si>
  <si>
    <t>Gasto em Novembro</t>
  </si>
  <si>
    <t>Gasto em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</si>
</sst>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wrapText="1"/>
    </xf>
    <xf numFmtId="0" fontId="1" fillId="3" borderId="3" xfId="0" applyFont="1" applyFill="1" applyBorder="1"/>
    <xf numFmtId="0" fontId="1" fillId="3" borderId="0" xfId="0" applyFont="1" applyFill="1"/>
    <xf numFmtId="0" fontId="1" fillId="3" borderId="4" xfId="0" applyFont="1" applyFill="1" applyBorder="1"/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/>
  </cellXfs>
  <cellStyles count="1">
    <cellStyle name="Normal" xfId="0" builtinId="0"/>
  </cellStyles>
  <dxfs count="109"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border outline="0">
        <top style="thin">
          <color theme="4"/>
        </top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ACAA4-67E2-4B04-BCC2-95025670BCF6}" name="Tabela2" displayName="Tabela2" ref="A1:G8" totalsRowShown="0" headerRowDxfId="108" dataDxfId="106" headerRowBorderDxfId="107" tableBorderDxfId="105">
  <autoFilter ref="A1:G8" xr:uid="{DFAACAA4-67E2-4B04-BCC2-95025670BCF6}"/>
  <tableColumns count="7">
    <tableColumn id="1" xr3:uid="{A6800814-372E-4930-B8DA-E5578EF808AF}" name="Coluna" dataDxfId="104"/>
    <tableColumn id="2" xr3:uid="{9EA10C04-9FBB-4D45-B269-8D07963F5915}" name="Tipo de dado" dataDxfId="103"/>
    <tableColumn id="3" xr3:uid="{3E7B9CAF-FAFC-4C24-B661-6AECD47CE11D}" name="Comprimento (Bytes)" dataDxfId="102"/>
    <tableColumn id="4" xr3:uid="{EBA960E9-3E21-4B1F-B9C6-DB83BB52664B}" name="Restrição" dataDxfId="101"/>
    <tableColumn id="5" xr3:uid="{0F3438E8-5589-424F-B4D5-B110E50CF23A}" name="Valor Padrão" dataDxfId="100"/>
    <tableColumn id="6" xr3:uid="{F9C51CEB-670D-4807-B897-2D80F8C22352}" name="Extra" dataDxfId="99"/>
    <tableColumn id="7" xr3:uid="{32E4082E-E322-4359-AC63-C55E96C4802D}" name="Descrição" dataDxfId="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E39972-8FA0-40C9-BFA5-0B97BCB76987}" name="Tabela5" displayName="Tabela5" ref="A1:G10" totalsRowShown="0" dataDxfId="97">
  <autoFilter ref="A1:G10" xr:uid="{CFE39972-8FA0-40C9-BFA5-0B97BCB76987}"/>
  <tableColumns count="7">
    <tableColumn id="1" xr3:uid="{CBD1E36C-B6AD-47F2-9B7F-28BE838F46DD}" name="Coluna" dataDxfId="96"/>
    <tableColumn id="2" xr3:uid="{6A67C87E-697B-4014-A99F-547A40B89434}" name="Tipo de dado" dataDxfId="95"/>
    <tableColumn id="3" xr3:uid="{4D435A5B-46AF-49EC-BC4C-CF9C4C71CAAF}" name="Comprimento (Bytes)" dataDxfId="94"/>
    <tableColumn id="4" xr3:uid="{E3CCF8F0-2B5D-41F7-B1AB-D5C1AC15BA2A}" name="Restrição" dataDxfId="93"/>
    <tableColumn id="5" xr3:uid="{670CE2EB-F25D-416F-BC62-3E80E3817D51}" name="Valor Padrão" dataDxfId="92"/>
    <tableColumn id="6" xr3:uid="{083735AB-6A3B-48FF-9812-C1E651DF2D9C}" name="Extra" dataDxfId="91"/>
    <tableColumn id="7" xr3:uid="{55589228-EA20-4A3F-9AB3-E3634A825153}" name="Descrição" dataDxfId="9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8A818-CCB2-4DAA-AF88-332516CCDAAD}" name="Tabela3" displayName="Tabela3" ref="A1:G5" totalsRowShown="0" headerRowDxfId="89" dataDxfId="88" tableBorderDxfId="87">
  <autoFilter ref="A1:G5" xr:uid="{FFD8A818-CCB2-4DAA-AF88-332516CCDAAD}"/>
  <tableColumns count="7">
    <tableColumn id="1" xr3:uid="{F187B6D4-A137-4958-BEB1-6623B555A9A3}" name="Coluna" dataDxfId="86"/>
    <tableColumn id="2" xr3:uid="{34F0E9AF-FBA2-43C8-9671-79B8C8442E5B}" name="Tipo de dado" dataDxfId="85"/>
    <tableColumn id="3" xr3:uid="{BAA3AFF0-A4D8-423F-B57B-EDC4B01254D8}" name="Comprimento (Bytes)" dataDxfId="84"/>
    <tableColumn id="4" xr3:uid="{6C6AEE71-78B3-4C5A-BD40-44403C61D8C0}" name="Restrição" dataDxfId="83"/>
    <tableColumn id="5" xr3:uid="{1AC44783-58D5-4B0B-A5FF-FB21688FF4F3}" name="Valor Padrão" dataDxfId="82"/>
    <tableColumn id="6" xr3:uid="{2AB8A5E4-82FE-4E90-9CA2-FF5E95E7EF96}" name="Extra" dataDxfId="81"/>
    <tableColumn id="7" xr3:uid="{C680754C-7349-478B-85C9-E89D2F828F60}" name="Descrição" dataDxfId="8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C4D63-3413-44D8-BA92-756485F7F48D}" name="Tabela4" displayName="Tabela4" ref="A1:G5" totalsRowShown="0" headerRowDxfId="79" dataDxfId="78" tableBorderDxfId="77">
  <autoFilter ref="A1:G5" xr:uid="{FECC4D63-3413-44D8-BA92-756485F7F48D}"/>
  <tableColumns count="7">
    <tableColumn id="1" xr3:uid="{3A5E0233-4608-4B3A-856A-6396612A8356}" name="Coluna" dataDxfId="76"/>
    <tableColumn id="2" xr3:uid="{253EC81E-4369-4D50-A8FE-3BB9FF9C3AE0}" name="Tipo de dado" dataDxfId="75"/>
    <tableColumn id="3" xr3:uid="{70E9099A-64F0-4F23-8EF2-40577957D535}" name="Comprimento (Bytes)" dataDxfId="74"/>
    <tableColumn id="4" xr3:uid="{C8D76270-FF06-4B57-A6A7-BB256BB372CD}" name="Restrição" dataDxfId="73"/>
    <tableColumn id="5" xr3:uid="{5A30A158-DE50-4D98-A97E-F1E6C6B8A3F8}" name="Valor Padrão" dataDxfId="72"/>
    <tableColumn id="6" xr3:uid="{EC5B50CA-4A56-45E2-A77F-4587468142F5}" name="Extra" dataDxfId="71"/>
    <tableColumn id="7" xr3:uid="{D0E6CAFF-EDD7-4757-888E-7B7E7479DD56}" name="Descrição" dataDxfId="7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4B00B3-7052-4D2F-B6DD-1D2DE5A80BD2}" name="Tabela6" displayName="Tabela6" ref="A1:G3" totalsRowShown="0" headerRowDxfId="69" dataDxfId="68" tableBorderDxfId="67">
  <autoFilter ref="A1:G3" xr:uid="{A24B00B3-7052-4D2F-B6DD-1D2DE5A80BD2}"/>
  <tableColumns count="7">
    <tableColumn id="1" xr3:uid="{2C439746-28D9-4796-842D-35DF938A1FBE}" name="Coluna" dataDxfId="66"/>
    <tableColumn id="2" xr3:uid="{426412C1-71C3-4FFF-8ACA-64DBACE9A897}" name="Tipo de dado" dataDxfId="65"/>
    <tableColumn id="3" xr3:uid="{A6CAAF15-35D4-4588-8561-C7C0E4B820B9}" name="Comprimento (Bytes)" dataDxfId="64"/>
    <tableColumn id="4" xr3:uid="{F8B93FFF-46E8-4072-8D82-F2E6639A2591}" name="Restrição" dataDxfId="63"/>
    <tableColumn id="5" xr3:uid="{9AA90952-6470-4608-AC8A-75125CBDD2A5}" name="Valor Padrão" dataDxfId="62"/>
    <tableColumn id="6" xr3:uid="{F01EC5C9-2749-4D43-B950-0DF6FD7272EA}" name="Extra" dataDxfId="61"/>
    <tableColumn id="7" xr3:uid="{EDBF7082-DC5A-41D6-B54E-700EB1B55E45}" name="Descrição" dataDxfId="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7CCAC7-FB24-49B1-B82B-6C36B2F0648D}" name="Tabela7" displayName="Tabela7" ref="A1:G6" totalsRowShown="0" headerRowDxfId="59" dataDxfId="58" tableBorderDxfId="57">
  <autoFilter ref="A1:G6" xr:uid="{5E7CCAC7-FB24-49B1-B82B-6C36B2F0648D}"/>
  <tableColumns count="7">
    <tableColumn id="1" xr3:uid="{C61736E1-F1E5-480D-ACA5-6A3D7E7B55D3}" name="Coluna" dataDxfId="56"/>
    <tableColumn id="2" xr3:uid="{834E2AC3-5C1E-4701-8510-EEC26E5A9298}" name="Tipo de dado" dataDxfId="55"/>
    <tableColumn id="3" xr3:uid="{F621B9FD-261E-46BE-8246-F0056A7C0A46}" name="Comprimento (Bytes)" dataDxfId="54"/>
    <tableColumn id="4" xr3:uid="{38F38198-4F7A-4166-86A6-4BAEC34908DA}" name="Restrição" dataDxfId="53"/>
    <tableColumn id="5" xr3:uid="{E539A009-F83B-464C-BD87-C780044D02E2}" name="Valor Padrão" dataDxfId="52"/>
    <tableColumn id="6" xr3:uid="{093B1ED1-B39C-43D9-ABF8-F1B8372E17F2}" name="Extra" dataDxfId="51"/>
    <tableColumn id="7" xr3:uid="{CE04A5B6-DEEB-426D-AC34-CC09F7B1D529}" name="Descrição" dataDxfId="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4D66A1-4BF8-46AB-933D-49645E3EB05E}" name="Tabela8" displayName="Tabela8" ref="A1:G4" totalsRowShown="0" headerRowDxfId="49" dataDxfId="48" tableBorderDxfId="47">
  <autoFilter ref="A1:G4" xr:uid="{E54D66A1-4BF8-46AB-933D-49645E3EB05E}"/>
  <tableColumns count="7">
    <tableColumn id="1" xr3:uid="{D46FC7F7-91A2-46D9-9C2C-CBED28D122C3}" name="Coluna" dataDxfId="46"/>
    <tableColumn id="2" xr3:uid="{8587ED99-F6E2-4116-B9B6-7B0333953AAE}" name="Tipo de dado" dataDxfId="45"/>
    <tableColumn id="3" xr3:uid="{3BF27E73-A124-42A0-890B-C1D6D764F90A}" name="Comprimento (Bytes)" dataDxfId="44"/>
    <tableColumn id="4" xr3:uid="{4B7E24A7-B83E-49D8-8D07-B0A237B976EC}" name="Restrição" dataDxfId="43"/>
    <tableColumn id="5" xr3:uid="{E406062A-6530-4425-82A2-E4E782C51F7B}" name="Valor Padrão" dataDxfId="42"/>
    <tableColumn id="6" xr3:uid="{045647C8-269A-4380-950C-AAE99DC669FD}" name="Extra" dataDxfId="41"/>
    <tableColumn id="7" xr3:uid="{75AB2672-0BFF-4CB7-925A-3EB9D32D7E05}" name="Descrição" dataDxfId="4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4155D8-A80C-46A0-AC68-88FC0F0DE17C}" name="Tabela9" displayName="Tabela9" ref="A1:G5" totalsRowShown="0" headerRowDxfId="39" dataDxfId="38" tableBorderDxfId="37">
  <autoFilter ref="A1:G5" xr:uid="{4D4155D8-A80C-46A0-AC68-88FC0F0DE17C}"/>
  <tableColumns count="7">
    <tableColumn id="1" xr3:uid="{AA1F891A-611E-4E25-A5F2-B8516B4CEFDE}" name="Coluna" dataDxfId="36"/>
    <tableColumn id="2" xr3:uid="{EA2EAD24-C1E6-41C1-855F-FC4A3A8065F0}" name="Tipo de dado" dataDxfId="35"/>
    <tableColumn id="3" xr3:uid="{870DF2BD-E67E-4356-97E6-94F0BE766122}" name="Comprimento (Bytes)" dataDxfId="34"/>
    <tableColumn id="4" xr3:uid="{9BB2A37A-B8CF-4E1F-9371-FBAB7F49F65E}" name="Restrição" dataDxfId="33"/>
    <tableColumn id="5" xr3:uid="{32E64028-4FBA-43AE-A33F-1E9739E323E6}" name="Valor Padrão" dataDxfId="32"/>
    <tableColumn id="6" xr3:uid="{465FA8ED-6E6C-4C4E-81C7-07795C93E8E0}" name="Extra" dataDxfId="31"/>
    <tableColumn id="7" xr3:uid="{8601D379-C7C5-4D04-959E-EFCBE9CB618F}" name="Descrição" dataDxfId="3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AE1BB3-24C5-4A58-9344-962F4ADE2130}" name="Tabela10" displayName="Tabela10" ref="A1:G5" totalsRowShown="0" headerRowDxfId="29" dataDxfId="28" tableBorderDxfId="27">
  <autoFilter ref="A1:G5" xr:uid="{D7AE1BB3-24C5-4A58-9344-962F4ADE2130}"/>
  <tableColumns count="7">
    <tableColumn id="1" xr3:uid="{A06F423C-048A-4FAC-B79D-97A393514F3D}" name="Coluna" dataDxfId="26"/>
    <tableColumn id="2" xr3:uid="{4BDF5B7A-9B41-4BF6-A9DC-1FF51E0BDD9C}" name="Tipo de dado" dataDxfId="25"/>
    <tableColumn id="3" xr3:uid="{3C7A2C5A-4980-47B1-BF2C-55670D39A27A}" name="Comprimento (Bytes)" dataDxfId="24"/>
    <tableColumn id="4" xr3:uid="{E292473C-5FE1-4DB3-8ABC-51520CB3F3FF}" name="Restrição" dataDxfId="23"/>
    <tableColumn id="5" xr3:uid="{D728A471-C5F1-4F8C-A621-6A3D4C9E930F}" name="Valor Padrão" dataDxfId="22"/>
    <tableColumn id="6" xr3:uid="{DF49E86B-63E6-45CB-9CC4-4A5567AC5F48}" name="Extra" dataDxfId="21"/>
    <tableColumn id="7" xr3:uid="{92D65609-5D5A-426D-A9E3-9140BF6807B9}" name="Descrição" dataDxfId="2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D2DB50-E884-4DC0-9CAC-245C099AAB19}" name="Tabela11" displayName="Tabela11" ref="A1:G4" totalsRowShown="0" headerRowDxfId="19" dataDxfId="18" tableBorderDxfId="17">
  <autoFilter ref="A1:G4" xr:uid="{F8D2DB50-E884-4DC0-9CAC-245C099AAB19}"/>
  <tableColumns count="7">
    <tableColumn id="1" xr3:uid="{30D405D4-508F-4267-A77A-2EBEB6AA099D}" name="Coluna" dataDxfId="16"/>
    <tableColumn id="2" xr3:uid="{72AC27CC-EDA9-441F-8CA1-0CC571931E85}" name="Tipo de dado" dataDxfId="15"/>
    <tableColumn id="3" xr3:uid="{2417F33B-E64A-4225-B6CC-1DA920B591FC}" name="Comprimento (Bytes)" dataDxfId="14"/>
    <tableColumn id="4" xr3:uid="{00C7B572-5E2F-4B7D-ACE2-2364F670BF3E}" name="Restrição" dataDxfId="13"/>
    <tableColumn id="5" xr3:uid="{C91AA750-C036-4A6B-A210-CF8D5E0284FF}" name="Valor Padrão" dataDxfId="12"/>
    <tableColumn id="6" xr3:uid="{5C92BD11-7C24-4F49-9118-B7DD8F849BF5}" name="Extra" dataDxfId="11"/>
    <tableColumn id="7" xr3:uid="{4898EB16-9396-434F-81DA-D5119B32F838}" name="Descrição" dataDxfId="1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22C59A-F565-49D9-9235-D02207CC5537}" name="Tabela12" displayName="Tabela12" ref="A1:G16" totalsRowShown="0" headerRowDxfId="9" dataDxfId="8" tableBorderDxfId="7">
  <autoFilter ref="A1:G16" xr:uid="{0122C59A-F565-49D9-9235-D02207CC5537}"/>
  <tableColumns count="7">
    <tableColumn id="1" xr3:uid="{553CE65E-36C3-439F-9C3F-B7E06CBB9B42}" name="Coluna" dataDxfId="6"/>
    <tableColumn id="2" xr3:uid="{B71C315B-99C2-46E6-8173-2EF06A224ECC}" name="Tipo de dado" dataDxfId="5"/>
    <tableColumn id="3" xr3:uid="{AD59EF6E-0A1D-4EB9-A274-5B29F9B763E5}" name="Comprimento (Bytes)" dataDxfId="4"/>
    <tableColumn id="4" xr3:uid="{8B0E59B8-8016-4D2E-B40E-FE76C2FCA1C4}" name="Restrição" dataDxfId="3"/>
    <tableColumn id="5" xr3:uid="{212CB018-3388-42D0-9E9A-F19898A73B03}" name="Valor Padrão" dataDxfId="2"/>
    <tableColumn id="6" xr3:uid="{ED2215F3-39DB-4C25-B8FA-455D680513A4}" name="Extra" dataDxfId="1"/>
    <tableColumn id="7" xr3:uid="{F2B9A3F4-1DBE-49E1-BC87-B7B0FEC44DFD}" name="Descri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78FB-908F-49F3-AED0-D23872E9350F}">
  <dimension ref="A2:P21"/>
  <sheetViews>
    <sheetView tabSelected="1" workbookViewId="0">
      <selection activeCell="H14" sqref="H14"/>
    </sheetView>
  </sheetViews>
  <sheetFormatPr defaultRowHeight="15" x14ac:dyDescent="0.25"/>
  <cols>
    <col min="1" max="2" width="19.7109375" customWidth="1"/>
    <col min="3" max="3" width="24.42578125" bestFit="1" customWidth="1"/>
    <col min="4" max="4" width="30.85546875" customWidth="1"/>
  </cols>
  <sheetData>
    <row r="2" spans="1:16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16" x14ac:dyDescent="0.25">
      <c r="A3" s="16" t="s">
        <v>4</v>
      </c>
      <c r="B3" s="3" t="s">
        <v>5</v>
      </c>
      <c r="C3" s="3" t="s">
        <v>7</v>
      </c>
      <c r="D3" s="16" t="s">
        <v>8</v>
      </c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6"/>
      <c r="B4" s="3" t="s">
        <v>6</v>
      </c>
      <c r="C4" s="3" t="s">
        <v>7</v>
      </c>
      <c r="D4" s="16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x14ac:dyDescent="0.25">
      <c r="A5" s="16"/>
      <c r="B5" s="3" t="s">
        <v>13</v>
      </c>
      <c r="C5" s="3" t="s">
        <v>7</v>
      </c>
      <c r="D5" s="16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30" x14ac:dyDescent="0.25">
      <c r="A6" s="4" t="s">
        <v>5</v>
      </c>
      <c r="B6" s="3" t="s">
        <v>4</v>
      </c>
      <c r="C6" s="3" t="s">
        <v>7</v>
      </c>
      <c r="D6" s="5" t="s">
        <v>56</v>
      </c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30" x14ac:dyDescent="0.25">
      <c r="A7" s="4" t="s">
        <v>6</v>
      </c>
      <c r="B7" s="3" t="s">
        <v>4</v>
      </c>
      <c r="C7" s="3" t="s">
        <v>7</v>
      </c>
      <c r="D7" s="5" t="s">
        <v>9</v>
      </c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x14ac:dyDescent="0.25">
      <c r="A8" s="16" t="s">
        <v>10</v>
      </c>
      <c r="B8" s="3" t="s">
        <v>4</v>
      </c>
      <c r="C8" s="3" t="s">
        <v>7</v>
      </c>
      <c r="D8" s="17" t="s">
        <v>12</v>
      </c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x14ac:dyDescent="0.25">
      <c r="A9" s="16"/>
      <c r="B9" s="3" t="s">
        <v>11</v>
      </c>
      <c r="C9" s="3" t="s">
        <v>7</v>
      </c>
      <c r="D9" s="17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x14ac:dyDescent="0.25">
      <c r="A10" s="16" t="s">
        <v>11</v>
      </c>
      <c r="B10" s="3" t="s">
        <v>13</v>
      </c>
      <c r="C10" s="3" t="s">
        <v>7</v>
      </c>
      <c r="D10" s="16" t="s">
        <v>14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x14ac:dyDescent="0.25">
      <c r="A11" s="16"/>
      <c r="B11" s="3" t="s">
        <v>15</v>
      </c>
      <c r="C11" s="3" t="s">
        <v>7</v>
      </c>
      <c r="D11" s="16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16" t="s">
        <v>15</v>
      </c>
      <c r="B12" s="3" t="s">
        <v>11</v>
      </c>
      <c r="C12" s="3" t="s">
        <v>7</v>
      </c>
      <c r="D12" s="16" t="s">
        <v>17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x14ac:dyDescent="0.25">
      <c r="A13" s="16"/>
      <c r="B13" s="3" t="s">
        <v>16</v>
      </c>
      <c r="C13" s="3" t="s">
        <v>7</v>
      </c>
      <c r="D13" s="16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5">
      <c r="A14" s="4" t="s">
        <v>16</v>
      </c>
      <c r="B14" s="3" t="s">
        <v>15</v>
      </c>
      <c r="C14" s="3" t="s">
        <v>7</v>
      </c>
      <c r="D14" s="4" t="s">
        <v>18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x14ac:dyDescent="0.25">
      <c r="A15" s="4" t="s">
        <v>19</v>
      </c>
      <c r="B15" s="3" t="s">
        <v>20</v>
      </c>
      <c r="C15" s="3" t="s">
        <v>7</v>
      </c>
      <c r="D15" s="4" t="s">
        <v>21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x14ac:dyDescent="0.25">
      <c r="A16" s="16" t="s">
        <v>20</v>
      </c>
      <c r="B16" s="3" t="s">
        <v>19</v>
      </c>
      <c r="C16" s="3" t="s">
        <v>7</v>
      </c>
      <c r="D16" s="17" t="s">
        <v>23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 x14ac:dyDescent="0.25">
      <c r="A17" s="16"/>
      <c r="B17" s="3" t="s">
        <v>22</v>
      </c>
      <c r="C17" s="3" t="s">
        <v>7</v>
      </c>
      <c r="D17" s="17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x14ac:dyDescent="0.25">
      <c r="A18" s="4" t="s">
        <v>24</v>
      </c>
      <c r="B18" s="3" t="s">
        <v>20</v>
      </c>
      <c r="C18" s="3" t="s">
        <v>7</v>
      </c>
      <c r="D18" s="4" t="s">
        <v>25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x14ac:dyDescent="0.25">
      <c r="A19" s="4" t="s">
        <v>26</v>
      </c>
      <c r="B19" s="3"/>
      <c r="C19" s="3"/>
      <c r="D19" s="4" t="s">
        <v>27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1" spans="1:16" x14ac:dyDescent="0.25">
      <c r="A21" s="11"/>
    </row>
  </sheetData>
  <mergeCells count="10">
    <mergeCell ref="A12:A13"/>
    <mergeCell ref="D12:D13"/>
    <mergeCell ref="A16:A17"/>
    <mergeCell ref="D16:D17"/>
    <mergeCell ref="A8:A9"/>
    <mergeCell ref="D8:D9"/>
    <mergeCell ref="A3:A5"/>
    <mergeCell ref="D3:D5"/>
    <mergeCell ref="A10:A11"/>
    <mergeCell ref="D10:D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91BA-40F6-4665-942A-05B95CC2E98B}">
  <dimension ref="A1:G10"/>
  <sheetViews>
    <sheetView topLeftCell="A10" workbookViewId="0">
      <selection activeCell="C2" sqref="C2:C8"/>
    </sheetView>
  </sheetViews>
  <sheetFormatPr defaultRowHeight="15" x14ac:dyDescent="0.25"/>
  <cols>
    <col min="1" max="1" width="15.710937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28515625" bestFit="1" customWidth="1"/>
    <col min="7" max="7" width="32.140625" customWidth="1"/>
  </cols>
  <sheetData>
    <row r="1" spans="1:7" x14ac:dyDescent="0.25">
      <c r="A1" s="8" t="s">
        <v>28</v>
      </c>
      <c r="B1" s="8" t="s">
        <v>29</v>
      </c>
      <c r="C1" s="9" t="s">
        <v>30</v>
      </c>
      <c r="D1" s="8" t="s">
        <v>31</v>
      </c>
      <c r="E1" s="8" t="s">
        <v>32</v>
      </c>
      <c r="F1" s="8" t="s">
        <v>33</v>
      </c>
      <c r="G1" s="8" t="s">
        <v>3</v>
      </c>
    </row>
    <row r="2" spans="1:7" ht="30" x14ac:dyDescent="0.25">
      <c r="A2" s="1" t="s">
        <v>34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38</v>
      </c>
    </row>
    <row r="3" spans="1:7" x14ac:dyDescent="0.25">
      <c r="A3" s="1" t="s">
        <v>39</v>
      </c>
      <c r="B3" s="1" t="s">
        <v>45</v>
      </c>
      <c r="C3" s="1">
        <v>25</v>
      </c>
      <c r="D3" s="1"/>
      <c r="E3" s="1"/>
      <c r="F3" s="1"/>
      <c r="G3" s="7" t="s">
        <v>49</v>
      </c>
    </row>
    <row r="4" spans="1:7" ht="30" x14ac:dyDescent="0.25">
      <c r="A4" s="1" t="s">
        <v>40</v>
      </c>
      <c r="B4" s="1" t="s">
        <v>45</v>
      </c>
      <c r="C4" s="1">
        <v>14</v>
      </c>
      <c r="D4" s="1" t="s">
        <v>47</v>
      </c>
      <c r="E4" s="1"/>
      <c r="F4" s="1"/>
      <c r="G4" s="7" t="s">
        <v>50</v>
      </c>
    </row>
    <row r="5" spans="1:7" ht="30" x14ac:dyDescent="0.25">
      <c r="A5" s="1" t="s">
        <v>41</v>
      </c>
      <c r="B5" s="1" t="s">
        <v>45</v>
      </c>
      <c r="C5" s="1">
        <v>1</v>
      </c>
      <c r="D5" s="1"/>
      <c r="E5" s="1"/>
      <c r="F5" s="1"/>
      <c r="G5" s="10" t="s">
        <v>51</v>
      </c>
    </row>
    <row r="6" spans="1:7" ht="45" x14ac:dyDescent="0.25">
      <c r="A6" s="1" t="s">
        <v>42</v>
      </c>
      <c r="B6" s="1" t="s">
        <v>35</v>
      </c>
      <c r="C6" s="1">
        <v>4</v>
      </c>
      <c r="D6" s="1" t="s">
        <v>48</v>
      </c>
      <c r="E6" s="1"/>
      <c r="F6" s="1"/>
      <c r="G6" s="7" t="s">
        <v>52</v>
      </c>
    </row>
    <row r="7" spans="1:7" x14ac:dyDescent="0.25">
      <c r="A7" s="1" t="s">
        <v>43</v>
      </c>
      <c r="B7" s="1" t="s">
        <v>45</v>
      </c>
      <c r="C7" s="1">
        <v>150</v>
      </c>
      <c r="D7" s="1" t="s">
        <v>47</v>
      </c>
      <c r="E7" s="1"/>
      <c r="F7" s="1"/>
      <c r="G7" s="7" t="s">
        <v>53</v>
      </c>
    </row>
    <row r="8" spans="1:7" x14ac:dyDescent="0.25">
      <c r="A8" s="1" t="s">
        <v>44</v>
      </c>
      <c r="B8" s="1" t="s">
        <v>46</v>
      </c>
      <c r="C8" s="1">
        <v>3</v>
      </c>
      <c r="D8" s="1"/>
      <c r="E8" s="1"/>
      <c r="F8" s="1"/>
      <c r="G8" s="7" t="s">
        <v>54</v>
      </c>
    </row>
    <row r="10" spans="1:7" ht="30" x14ac:dyDescent="0.25">
      <c r="A10" s="6" t="s">
        <v>55</v>
      </c>
      <c r="C10">
        <f>SUM(C2:C8)</f>
        <v>201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50FA-BD87-4462-86CC-91ECC24801B7}">
  <dimension ref="A1:G10"/>
  <sheetViews>
    <sheetView workbookViewId="0">
      <selection activeCell="B10" sqref="B10"/>
    </sheetView>
  </sheetViews>
  <sheetFormatPr defaultRowHeight="15" x14ac:dyDescent="0.25"/>
  <cols>
    <col min="1" max="1" width="1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28515625" bestFit="1" customWidth="1"/>
    <col min="7" max="7" width="27.7109375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</v>
      </c>
    </row>
    <row r="2" spans="1:7" ht="45" x14ac:dyDescent="0.25">
      <c r="A2" s="1" t="s">
        <v>57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68</v>
      </c>
    </row>
    <row r="3" spans="1:7" x14ac:dyDescent="0.25">
      <c r="A3" s="1" t="s">
        <v>58</v>
      </c>
      <c r="B3" s="1" t="s">
        <v>45</v>
      </c>
      <c r="C3" s="1">
        <v>25</v>
      </c>
      <c r="D3" s="1"/>
      <c r="E3" s="1"/>
      <c r="F3" s="1"/>
      <c r="G3" s="7" t="s">
        <v>69</v>
      </c>
    </row>
    <row r="4" spans="1:7" x14ac:dyDescent="0.25">
      <c r="A4" s="1" t="s">
        <v>59</v>
      </c>
      <c r="B4" s="1" t="s">
        <v>45</v>
      </c>
      <c r="C4" s="1">
        <v>50</v>
      </c>
      <c r="D4" s="1"/>
      <c r="E4" s="1"/>
      <c r="F4" s="1"/>
      <c r="G4" s="7" t="s">
        <v>70</v>
      </c>
    </row>
    <row r="5" spans="1:7" x14ac:dyDescent="0.25">
      <c r="A5" s="1" t="s">
        <v>60</v>
      </c>
      <c r="B5" s="1" t="s">
        <v>45</v>
      </c>
      <c r="C5" s="1">
        <v>10</v>
      </c>
      <c r="D5" s="1"/>
      <c r="E5" s="1"/>
      <c r="F5" s="1"/>
      <c r="G5" s="7" t="s">
        <v>71</v>
      </c>
    </row>
    <row r="6" spans="1:7" ht="45" x14ac:dyDescent="0.25">
      <c r="A6" s="1" t="s">
        <v>61</v>
      </c>
      <c r="B6" s="1" t="s">
        <v>45</v>
      </c>
      <c r="C6" s="1">
        <v>25</v>
      </c>
      <c r="D6" s="1"/>
      <c r="E6" s="1"/>
      <c r="F6" s="1"/>
      <c r="G6" s="7" t="s">
        <v>72</v>
      </c>
    </row>
    <row r="7" spans="1:7" x14ac:dyDescent="0.25">
      <c r="A7" s="1" t="s">
        <v>62</v>
      </c>
      <c r="B7" s="1" t="s">
        <v>45</v>
      </c>
      <c r="C7" s="1">
        <v>50</v>
      </c>
      <c r="D7" s="1"/>
      <c r="E7" s="1"/>
      <c r="F7" s="1"/>
      <c r="G7" s="7" t="s">
        <v>73</v>
      </c>
    </row>
    <row r="8" spans="1:7" x14ac:dyDescent="0.25">
      <c r="A8" s="1" t="s">
        <v>63</v>
      </c>
      <c r="B8" s="1" t="s">
        <v>45</v>
      </c>
      <c r="C8" s="1">
        <v>50</v>
      </c>
      <c r="D8" s="1"/>
      <c r="E8" s="1"/>
      <c r="F8" s="1"/>
      <c r="G8" s="7" t="s">
        <v>74</v>
      </c>
    </row>
    <row r="9" spans="1:7" ht="30" x14ac:dyDescent="0.25">
      <c r="A9" s="1" t="s">
        <v>64</v>
      </c>
      <c r="B9" s="1" t="s">
        <v>45</v>
      </c>
      <c r="C9" s="1">
        <v>2</v>
      </c>
      <c r="D9" s="1"/>
      <c r="E9" s="1"/>
      <c r="F9" s="1"/>
      <c r="G9" s="7" t="s">
        <v>75</v>
      </c>
    </row>
    <row r="10" spans="1:7" ht="45" x14ac:dyDescent="0.25">
      <c r="A10" s="1" t="s">
        <v>65</v>
      </c>
      <c r="B10" s="1" t="s">
        <v>35</v>
      </c>
      <c r="C10" s="1">
        <v>4</v>
      </c>
      <c r="D10" s="1" t="s">
        <v>67</v>
      </c>
      <c r="E10" s="1"/>
      <c r="F10" s="1"/>
      <c r="G10" s="7" t="s">
        <v>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5D74-F3D5-4ED9-A9F7-89E36AB1BDC2}">
  <dimension ref="A1:G5"/>
  <sheetViews>
    <sheetView workbookViewId="0">
      <selection activeCell="G2" sqref="G2"/>
    </sheetView>
  </sheetViews>
  <sheetFormatPr defaultRowHeight="15" x14ac:dyDescent="0.25"/>
  <cols>
    <col min="1" max="1" width="13.14062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7.7109375" customWidth="1"/>
    <col min="7" max="7" width="28.42578125" bestFit="1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77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83</v>
      </c>
    </row>
    <row r="3" spans="1:7" ht="45" x14ac:dyDescent="0.25">
      <c r="A3" s="1" t="s">
        <v>78</v>
      </c>
      <c r="B3" s="1" t="s">
        <v>79</v>
      </c>
      <c r="C3" s="1">
        <v>3</v>
      </c>
      <c r="D3" s="1"/>
      <c r="E3" s="1" t="s">
        <v>84</v>
      </c>
      <c r="F3" s="15"/>
      <c r="G3" s="10" t="s">
        <v>80</v>
      </c>
    </row>
    <row r="4" spans="1:7" x14ac:dyDescent="0.25">
      <c r="A4" s="1" t="s">
        <v>6</v>
      </c>
      <c r="B4" s="1" t="s">
        <v>45</v>
      </c>
      <c r="C4" s="1">
        <v>14</v>
      </c>
      <c r="D4" s="1"/>
      <c r="E4" s="1"/>
      <c r="F4" s="1"/>
      <c r="G4" s="1" t="s">
        <v>81</v>
      </c>
    </row>
    <row r="5" spans="1:7" x14ac:dyDescent="0.25">
      <c r="A5" s="1" t="s">
        <v>65</v>
      </c>
      <c r="B5" s="1" t="s">
        <v>35</v>
      </c>
      <c r="C5" s="1">
        <v>4</v>
      </c>
      <c r="D5" s="1" t="s">
        <v>66</v>
      </c>
      <c r="E5" s="1"/>
      <c r="F5" s="1"/>
      <c r="G5" s="7" t="s">
        <v>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FC2F-BA38-4ACB-AAD9-A18DF2A664A6}">
  <dimension ref="A1:G5"/>
  <sheetViews>
    <sheetView workbookViewId="0">
      <selection activeCell="A2" sqref="A2:G5"/>
    </sheetView>
  </sheetViews>
  <sheetFormatPr defaultRowHeight="15" x14ac:dyDescent="0.25"/>
  <cols>
    <col min="1" max="1" width="18" bestFit="1" customWidth="1"/>
    <col min="2" max="2" width="14.5703125" customWidth="1"/>
    <col min="3" max="3" width="22.140625" customWidth="1"/>
    <col min="4" max="4" width="16.28515625" bestFit="1" customWidth="1"/>
    <col min="5" max="5" width="19" bestFit="1" customWidth="1"/>
    <col min="7" max="7" width="29" bestFit="1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x14ac:dyDescent="0.25">
      <c r="A2" s="1" t="s">
        <v>85</v>
      </c>
      <c r="B2" s="1" t="s">
        <v>35</v>
      </c>
      <c r="C2" s="1">
        <v>4</v>
      </c>
      <c r="D2" s="1" t="s">
        <v>90</v>
      </c>
      <c r="E2" s="1"/>
      <c r="F2" s="1"/>
      <c r="G2" s="1" t="s">
        <v>93</v>
      </c>
    </row>
    <row r="3" spans="1:7" x14ac:dyDescent="0.25">
      <c r="A3" s="1" t="s">
        <v>65</v>
      </c>
      <c r="B3" s="1" t="s">
        <v>35</v>
      </c>
      <c r="C3" s="1">
        <v>4</v>
      </c>
      <c r="D3" s="1" t="s">
        <v>90</v>
      </c>
      <c r="E3" s="1"/>
      <c r="F3" s="1"/>
      <c r="G3" s="1" t="s">
        <v>82</v>
      </c>
    </row>
    <row r="4" spans="1:7" x14ac:dyDescent="0.25">
      <c r="A4" s="1" t="s">
        <v>86</v>
      </c>
      <c r="B4" s="1" t="s">
        <v>88</v>
      </c>
      <c r="C4" s="1">
        <v>5</v>
      </c>
      <c r="D4" s="1"/>
      <c r="E4" s="1"/>
      <c r="F4" s="1"/>
      <c r="G4" s="1" t="s">
        <v>94</v>
      </c>
    </row>
    <row r="5" spans="1:7" ht="45" x14ac:dyDescent="0.25">
      <c r="A5" s="1" t="s">
        <v>87</v>
      </c>
      <c r="B5" s="1" t="s">
        <v>46</v>
      </c>
      <c r="C5" s="1">
        <v>3</v>
      </c>
      <c r="D5" s="1" t="s">
        <v>91</v>
      </c>
      <c r="E5" s="1" t="s">
        <v>92</v>
      </c>
      <c r="F5" s="1"/>
      <c r="G5" s="7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151B-5FC2-4FC9-B53E-422EFB16ED2D}">
  <dimension ref="A1:G3"/>
  <sheetViews>
    <sheetView workbookViewId="0">
      <selection activeCell="A2" sqref="A2:G3"/>
    </sheetView>
  </sheetViews>
  <sheetFormatPr defaultRowHeight="15" x14ac:dyDescent="0.25"/>
  <cols>
    <col min="1" max="1" width="10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28515625" bestFit="1" customWidth="1"/>
    <col min="7" max="7" width="2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96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97</v>
      </c>
    </row>
    <row r="3" spans="1:7" x14ac:dyDescent="0.25">
      <c r="A3" s="1" t="s">
        <v>11</v>
      </c>
      <c r="B3" s="1" t="s">
        <v>45</v>
      </c>
      <c r="C3" s="1">
        <v>100</v>
      </c>
      <c r="D3" s="1"/>
      <c r="E3" s="1"/>
      <c r="F3" s="1"/>
      <c r="G3" s="1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037-86F8-4749-82BC-FD9E94692A37}">
  <dimension ref="A1:G6"/>
  <sheetViews>
    <sheetView workbookViewId="0">
      <selection activeCell="G13" sqref="G13"/>
    </sheetView>
  </sheetViews>
  <sheetFormatPr defaultRowHeight="15" x14ac:dyDescent="0.25"/>
  <cols>
    <col min="1" max="1" width="13.710937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5703125" bestFit="1" customWidth="1"/>
    <col min="7" max="7" width="29.570312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99</v>
      </c>
      <c r="B2" s="1" t="s">
        <v>35</v>
      </c>
      <c r="C2" s="1">
        <v>4</v>
      </c>
      <c r="D2" s="1" t="s">
        <v>36</v>
      </c>
      <c r="E2" s="1"/>
      <c r="F2" s="1" t="s">
        <v>102</v>
      </c>
      <c r="G2" s="7" t="s">
        <v>103</v>
      </c>
    </row>
    <row r="3" spans="1:7" ht="30" x14ac:dyDescent="0.25">
      <c r="A3" s="1" t="s">
        <v>85</v>
      </c>
      <c r="B3" s="1" t="s">
        <v>35</v>
      </c>
      <c r="C3" s="1">
        <v>4</v>
      </c>
      <c r="D3" s="1" t="s">
        <v>66</v>
      </c>
      <c r="E3" s="1"/>
      <c r="F3" s="1"/>
      <c r="G3" s="7" t="s">
        <v>104</v>
      </c>
    </row>
    <row r="4" spans="1:7" ht="30" x14ac:dyDescent="0.25">
      <c r="A4" s="1" t="s">
        <v>100</v>
      </c>
      <c r="B4" s="1" t="s">
        <v>35</v>
      </c>
      <c r="C4" s="1">
        <v>4</v>
      </c>
      <c r="D4" s="1" t="s">
        <v>66</v>
      </c>
      <c r="E4" s="1"/>
      <c r="F4" s="1"/>
      <c r="G4" s="7" t="s">
        <v>105</v>
      </c>
    </row>
    <row r="5" spans="1:7" x14ac:dyDescent="0.25">
      <c r="A5" s="1" t="s">
        <v>15</v>
      </c>
      <c r="B5" s="1" t="s">
        <v>45</v>
      </c>
      <c r="C5" s="1">
        <v>50</v>
      </c>
      <c r="D5" s="1"/>
      <c r="E5" s="1"/>
      <c r="F5" s="1"/>
      <c r="G5" s="7" t="s">
        <v>106</v>
      </c>
    </row>
    <row r="6" spans="1:7" x14ac:dyDescent="0.25">
      <c r="A6" s="1" t="s">
        <v>101</v>
      </c>
      <c r="B6" s="1" t="s">
        <v>35</v>
      </c>
      <c r="C6" s="1">
        <v>4</v>
      </c>
      <c r="D6" s="1"/>
      <c r="E6" s="1"/>
      <c r="F6" s="1"/>
      <c r="G6" s="7" t="s">
        <v>107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BBF9-7395-4030-8C61-48B2D303E50E}">
  <dimension ref="A1:G4"/>
  <sheetViews>
    <sheetView workbookViewId="0">
      <selection activeCell="G2" sqref="G2"/>
    </sheetView>
  </sheetViews>
  <sheetFormatPr defaultRowHeight="15" x14ac:dyDescent="0.25"/>
  <cols>
    <col min="1" max="1" width="13.570312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28515625" bestFit="1" customWidth="1"/>
    <col min="7" max="7" width="29.8554687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108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109</v>
      </c>
    </row>
    <row r="3" spans="1:7" x14ac:dyDescent="0.25">
      <c r="A3" s="1" t="s">
        <v>39</v>
      </c>
      <c r="B3" s="1" t="s">
        <v>45</v>
      </c>
      <c r="C3" s="1">
        <v>50</v>
      </c>
      <c r="D3" s="1" t="s">
        <v>48</v>
      </c>
      <c r="E3" s="1"/>
      <c r="F3" s="1"/>
      <c r="G3" s="1" t="s">
        <v>110</v>
      </c>
    </row>
    <row r="4" spans="1:7" x14ac:dyDescent="0.25">
      <c r="A4" s="1" t="s">
        <v>43</v>
      </c>
      <c r="B4" s="1" t="s">
        <v>45</v>
      </c>
      <c r="C4" s="1">
        <v>100</v>
      </c>
      <c r="D4" s="1"/>
      <c r="E4" s="1"/>
      <c r="F4" s="1"/>
      <c r="G4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51C5-1447-4796-8A79-00BB327EC359}">
  <dimension ref="A1:G5"/>
  <sheetViews>
    <sheetView workbookViewId="0">
      <selection activeCell="G2" sqref="G2"/>
    </sheetView>
  </sheetViews>
  <sheetFormatPr defaultRowHeight="15" x14ac:dyDescent="0.25"/>
  <cols>
    <col min="1" max="1" width="15.570312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28515625" bestFit="1" customWidth="1"/>
    <col min="7" max="7" width="29.8554687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112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114</v>
      </c>
    </row>
    <row r="3" spans="1:7" x14ac:dyDescent="0.25">
      <c r="A3" s="1" t="s">
        <v>39</v>
      </c>
      <c r="B3" s="1" t="s">
        <v>45</v>
      </c>
      <c r="C3" s="1">
        <v>50</v>
      </c>
      <c r="D3" s="1" t="s">
        <v>48</v>
      </c>
      <c r="E3" s="1"/>
      <c r="F3" s="1"/>
      <c r="G3" s="1" t="s">
        <v>115</v>
      </c>
    </row>
    <row r="4" spans="1:7" x14ac:dyDescent="0.25">
      <c r="A4" s="1" t="s">
        <v>113</v>
      </c>
      <c r="B4" s="1" t="s">
        <v>45</v>
      </c>
      <c r="C4" s="1">
        <v>50</v>
      </c>
      <c r="D4" s="1" t="s">
        <v>48</v>
      </c>
      <c r="E4" s="1"/>
      <c r="F4" s="1"/>
      <c r="G4" s="1" t="s">
        <v>116</v>
      </c>
    </row>
    <row r="5" spans="1:7" x14ac:dyDescent="0.25">
      <c r="A5" s="1" t="s">
        <v>6</v>
      </c>
      <c r="B5" s="1" t="s">
        <v>45</v>
      </c>
      <c r="C5" s="1">
        <v>20</v>
      </c>
      <c r="D5" s="1"/>
      <c r="E5" s="1"/>
      <c r="F5" s="1"/>
      <c r="G5" s="1" t="s">
        <v>117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E281-8B26-4085-8B93-8C3FA85C3C06}">
  <dimension ref="A1:G5"/>
  <sheetViews>
    <sheetView workbookViewId="0">
      <selection activeCell="G2" sqref="G2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7" max="7" width="33.570312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30" x14ac:dyDescent="0.25">
      <c r="A2" s="1" t="s">
        <v>118</v>
      </c>
      <c r="B2" s="1" t="s">
        <v>35</v>
      </c>
      <c r="C2" s="1">
        <v>4</v>
      </c>
      <c r="D2" s="1" t="s">
        <v>89</v>
      </c>
      <c r="E2" s="1"/>
      <c r="F2" s="1"/>
      <c r="G2" s="7" t="s">
        <v>122</v>
      </c>
    </row>
    <row r="3" spans="1:7" x14ac:dyDescent="0.25">
      <c r="A3" s="1" t="s">
        <v>119</v>
      </c>
      <c r="B3" s="1" t="s">
        <v>35</v>
      </c>
      <c r="C3" s="1">
        <v>4</v>
      </c>
      <c r="D3" s="1" t="s">
        <v>89</v>
      </c>
      <c r="E3" s="1"/>
      <c r="F3" s="1"/>
      <c r="G3" s="7" t="s">
        <v>123</v>
      </c>
    </row>
    <row r="4" spans="1:7" ht="30" x14ac:dyDescent="0.25">
      <c r="A4" s="1" t="s">
        <v>120</v>
      </c>
      <c r="B4" s="1" t="s">
        <v>35</v>
      </c>
      <c r="C4" s="1">
        <v>4</v>
      </c>
      <c r="D4" s="1"/>
      <c r="E4" s="1"/>
      <c r="F4" s="1"/>
      <c r="G4" s="7" t="s">
        <v>124</v>
      </c>
    </row>
    <row r="5" spans="1:7" ht="30" x14ac:dyDescent="0.25">
      <c r="A5" s="1" t="s">
        <v>121</v>
      </c>
      <c r="B5" s="1" t="s">
        <v>35</v>
      </c>
      <c r="C5" s="1">
        <v>4</v>
      </c>
      <c r="D5" s="1"/>
      <c r="E5" s="1"/>
      <c r="F5" s="1"/>
      <c r="G5" s="7" t="s">
        <v>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A148-7FBB-488D-874B-1B4630C889B2}">
  <dimension ref="A1:G4"/>
  <sheetViews>
    <sheetView workbookViewId="0">
      <selection activeCell="G2" sqref="G2"/>
    </sheetView>
  </sheetViews>
  <sheetFormatPr defaultRowHeight="15" x14ac:dyDescent="0.25"/>
  <cols>
    <col min="1" max="1" width="11.5703125" bestFit="1" customWidth="1"/>
    <col min="2" max="2" width="14.5703125" customWidth="1"/>
    <col min="3" max="3" width="22.140625" customWidth="1"/>
    <col min="4" max="4" width="11.28515625" customWidth="1"/>
    <col min="5" max="5" width="24.42578125" customWidth="1"/>
    <col min="6" max="6" width="15.28515625" bestFit="1" customWidth="1"/>
    <col min="7" max="7" width="34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30" x14ac:dyDescent="0.25">
      <c r="A2" s="1" t="s">
        <v>126</v>
      </c>
      <c r="B2" s="1" t="s">
        <v>35</v>
      </c>
      <c r="C2" s="1">
        <v>4</v>
      </c>
      <c r="D2" s="1" t="s">
        <v>36</v>
      </c>
      <c r="E2" s="1"/>
      <c r="F2" s="1" t="s">
        <v>37</v>
      </c>
      <c r="G2" s="7" t="s">
        <v>129</v>
      </c>
    </row>
    <row r="3" spans="1:7" ht="30" x14ac:dyDescent="0.25">
      <c r="A3" s="1" t="s">
        <v>127</v>
      </c>
      <c r="B3" s="1" t="s">
        <v>46</v>
      </c>
      <c r="C3" s="1">
        <v>3</v>
      </c>
      <c r="D3" s="1"/>
      <c r="E3" s="1" t="s">
        <v>128</v>
      </c>
      <c r="F3" s="1"/>
      <c r="G3" s="7" t="s">
        <v>130</v>
      </c>
    </row>
    <row r="4" spans="1:7" x14ac:dyDescent="0.25">
      <c r="A4" s="1" t="s">
        <v>39</v>
      </c>
      <c r="B4" s="1" t="s">
        <v>45</v>
      </c>
      <c r="C4" s="1">
        <v>100</v>
      </c>
      <c r="D4" s="1" t="s">
        <v>48</v>
      </c>
      <c r="E4" s="1"/>
      <c r="F4" s="1"/>
      <c r="G4" s="7" t="s">
        <v>131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3944-DD9D-4AA9-9F55-102795D17E1D}">
  <dimension ref="A1:G16"/>
  <sheetViews>
    <sheetView workbookViewId="0">
      <selection activeCell="I6" sqref="I6"/>
    </sheetView>
  </sheetViews>
  <sheetFormatPr defaultRowHeight="15" x14ac:dyDescent="0.25"/>
  <cols>
    <col min="1" max="1" width="9.28515625" customWidth="1"/>
    <col min="2" max="2" width="14.5703125" customWidth="1"/>
    <col min="3" max="3" width="22.140625" customWidth="1"/>
    <col min="4" max="4" width="11.28515625" customWidth="1"/>
    <col min="5" max="5" width="14.42578125" customWidth="1"/>
    <col min="6" max="6" width="15.5703125" bestFit="1" customWidth="1"/>
    <col min="7" max="7" width="29.85546875" customWidth="1"/>
  </cols>
  <sheetData>
    <row r="1" spans="1:7" x14ac:dyDescent="0.25">
      <c r="A1" s="12" t="s">
        <v>28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4" t="s">
        <v>3</v>
      </c>
    </row>
    <row r="2" spans="1:7" ht="45" x14ac:dyDescent="0.25">
      <c r="A2" s="1" t="s">
        <v>132</v>
      </c>
      <c r="B2" s="1" t="s">
        <v>35</v>
      </c>
      <c r="C2" s="1">
        <v>4</v>
      </c>
      <c r="D2" s="1" t="s">
        <v>36</v>
      </c>
      <c r="E2" s="1"/>
      <c r="F2" s="1" t="s">
        <v>146</v>
      </c>
      <c r="G2" s="7" t="s">
        <v>147</v>
      </c>
    </row>
    <row r="3" spans="1:7" ht="30" x14ac:dyDescent="0.25">
      <c r="A3" s="1" t="s">
        <v>78</v>
      </c>
      <c r="B3" s="1" t="s">
        <v>79</v>
      </c>
      <c r="C3" s="1">
        <v>15</v>
      </c>
      <c r="D3" s="1" t="s">
        <v>48</v>
      </c>
      <c r="E3" s="1"/>
      <c r="F3" s="1"/>
      <c r="G3" s="10" t="s">
        <v>148</v>
      </c>
    </row>
    <row r="4" spans="1:7" x14ac:dyDescent="0.25">
      <c r="A4" s="1" t="s">
        <v>133</v>
      </c>
      <c r="B4" s="1" t="s">
        <v>35</v>
      </c>
      <c r="C4" s="1">
        <v>4</v>
      </c>
      <c r="D4" s="1"/>
      <c r="E4" s="1"/>
      <c r="F4" s="1"/>
      <c r="G4" s="7" t="s">
        <v>149</v>
      </c>
    </row>
    <row r="5" spans="1:7" x14ac:dyDescent="0.25">
      <c r="A5" s="1" t="s">
        <v>134</v>
      </c>
      <c r="B5" s="1" t="s">
        <v>88</v>
      </c>
      <c r="C5" s="1">
        <v>5</v>
      </c>
      <c r="D5" s="1"/>
      <c r="E5" s="1"/>
      <c r="F5" s="1"/>
      <c r="G5" s="7" t="s">
        <v>150</v>
      </c>
    </row>
    <row r="6" spans="1:7" x14ac:dyDescent="0.25">
      <c r="A6" s="1" t="s">
        <v>135</v>
      </c>
      <c r="B6" s="1" t="s">
        <v>88</v>
      </c>
      <c r="C6" s="1">
        <v>5</v>
      </c>
      <c r="D6" s="1"/>
      <c r="E6" s="1"/>
      <c r="F6" s="1"/>
      <c r="G6" s="7" t="s">
        <v>151</v>
      </c>
    </row>
    <row r="7" spans="1:7" x14ac:dyDescent="0.25">
      <c r="A7" s="1" t="s">
        <v>136</v>
      </c>
      <c r="B7" s="1" t="s">
        <v>88</v>
      </c>
      <c r="C7" s="1">
        <v>5</v>
      </c>
      <c r="D7" s="1"/>
      <c r="E7" s="1"/>
      <c r="F7" s="1"/>
      <c r="G7" s="7" t="s">
        <v>152</v>
      </c>
    </row>
    <row r="8" spans="1:7" x14ac:dyDescent="0.25">
      <c r="A8" s="1" t="s">
        <v>137</v>
      </c>
      <c r="B8" s="1" t="s">
        <v>88</v>
      </c>
      <c r="C8" s="1">
        <v>5</v>
      </c>
      <c r="D8" s="1"/>
      <c r="E8" s="1"/>
      <c r="F8" s="1"/>
      <c r="G8" s="7" t="s">
        <v>153</v>
      </c>
    </row>
    <row r="9" spans="1:7" x14ac:dyDescent="0.25">
      <c r="A9" s="1" t="s">
        <v>138</v>
      </c>
      <c r="B9" s="1" t="s">
        <v>88</v>
      </c>
      <c r="C9" s="1">
        <v>5</v>
      </c>
      <c r="D9" s="1"/>
      <c r="E9" s="1"/>
      <c r="F9" s="1"/>
      <c r="G9" s="7" t="s">
        <v>154</v>
      </c>
    </row>
    <row r="10" spans="1:7" x14ac:dyDescent="0.25">
      <c r="A10" s="1" t="s">
        <v>139</v>
      </c>
      <c r="B10" s="1" t="s">
        <v>88</v>
      </c>
      <c r="C10" s="1">
        <v>5</v>
      </c>
      <c r="D10" s="1"/>
      <c r="E10" s="1"/>
      <c r="F10" s="1"/>
      <c r="G10" s="7" t="s">
        <v>155</v>
      </c>
    </row>
    <row r="11" spans="1:7" x14ac:dyDescent="0.25">
      <c r="A11" s="1" t="s">
        <v>140</v>
      </c>
      <c r="B11" s="1" t="s">
        <v>88</v>
      </c>
      <c r="C11" s="1">
        <v>5</v>
      </c>
      <c r="D11" s="1"/>
      <c r="E11" s="1"/>
      <c r="F11" s="1"/>
      <c r="G11" s="7" t="s">
        <v>156</v>
      </c>
    </row>
    <row r="12" spans="1:7" x14ac:dyDescent="0.25">
      <c r="A12" s="1" t="s">
        <v>141</v>
      </c>
      <c r="B12" s="1" t="s">
        <v>88</v>
      </c>
      <c r="C12" s="1">
        <v>5</v>
      </c>
      <c r="D12" s="1"/>
      <c r="E12" s="1"/>
      <c r="F12" s="1"/>
      <c r="G12" s="7" t="s">
        <v>157</v>
      </c>
    </row>
    <row r="13" spans="1:7" x14ac:dyDescent="0.25">
      <c r="A13" s="1" t="s">
        <v>142</v>
      </c>
      <c r="B13" s="1" t="s">
        <v>88</v>
      </c>
      <c r="C13" s="1">
        <v>5</v>
      </c>
      <c r="D13" s="1"/>
      <c r="E13" s="1"/>
      <c r="F13" s="1"/>
      <c r="G13" s="7" t="s">
        <v>158</v>
      </c>
    </row>
    <row r="14" spans="1:7" x14ac:dyDescent="0.25">
      <c r="A14" s="1" t="s">
        <v>143</v>
      </c>
      <c r="B14" s="1" t="s">
        <v>88</v>
      </c>
      <c r="C14" s="1">
        <v>5</v>
      </c>
      <c r="D14" s="1"/>
      <c r="E14" s="1"/>
      <c r="F14" s="1"/>
      <c r="G14" s="7" t="s">
        <v>159</v>
      </c>
    </row>
    <row r="15" spans="1:7" x14ac:dyDescent="0.25">
      <c r="A15" s="1" t="s">
        <v>144</v>
      </c>
      <c r="B15" s="1" t="s">
        <v>88</v>
      </c>
      <c r="C15" s="1">
        <v>5</v>
      </c>
      <c r="D15" s="1"/>
      <c r="E15" s="1"/>
      <c r="F15" s="1"/>
      <c r="G15" s="7" t="s">
        <v>160</v>
      </c>
    </row>
    <row r="16" spans="1:7" x14ac:dyDescent="0.25">
      <c r="A16" s="1" t="s">
        <v>145</v>
      </c>
      <c r="B16" s="1" t="s">
        <v>88</v>
      </c>
      <c r="C16" s="1">
        <v>5</v>
      </c>
      <c r="D16" s="1"/>
      <c r="E16" s="1"/>
      <c r="F16" s="1"/>
      <c r="G16" s="7" t="s">
        <v>161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Tabelas</vt:lpstr>
      <vt:lpstr>Aluno</vt:lpstr>
      <vt:lpstr>Endereço</vt:lpstr>
      <vt:lpstr>Telefone</vt:lpstr>
      <vt:lpstr>Aluno_curso</vt:lpstr>
      <vt:lpstr>Curso</vt:lpstr>
      <vt:lpstr>Disciplina</vt:lpstr>
      <vt:lpstr>Professor</vt:lpstr>
      <vt:lpstr>Funcionario</vt:lpstr>
      <vt:lpstr>Projeto_Funcionario</vt:lpstr>
      <vt:lpstr>Projeto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2025-11-11T19:02:25Z</dcterms:created>
  <dcterms:modified xsi:type="dcterms:W3CDTF">2025-11-12T19:48:00Z</dcterms:modified>
</cp:coreProperties>
</file>